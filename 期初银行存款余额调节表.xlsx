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ython books\教学样例\出纳管理之银行对账\"/>
    </mc:Choice>
  </mc:AlternateContent>
  <xr:revisionPtr revIDLastSave="0" documentId="13_ncr:1_{758A772F-1E40-4E3B-B4A0-4CC8D61D4B9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calcChain.xml><?xml version="1.0" encoding="utf-8"?>
<calcChain xmlns="http://schemas.openxmlformats.org/spreadsheetml/2006/main">
  <c r="F3" i="3" l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</calcChain>
</file>

<file path=xl/sharedStrings.xml><?xml version="1.0" encoding="utf-8"?>
<sst xmlns="http://schemas.openxmlformats.org/spreadsheetml/2006/main" count="176" uniqueCount="79">
  <si>
    <t>表3-14</t>
  </si>
  <si>
    <t>银行存款余额调节表</t>
  </si>
  <si>
    <t>单位：元</t>
  </si>
  <si>
    <t>单位日记账项目</t>
  </si>
  <si>
    <t>日记账余额</t>
  </si>
  <si>
    <t>银行对账单项目</t>
  </si>
  <si>
    <t>对账单余额</t>
  </si>
  <si>
    <t>调整前余额：</t>
  </si>
  <si>
    <t>加：银行已收，企业未收</t>
  </si>
  <si>
    <t>加：企业已收，银行未收</t>
  </si>
  <si>
    <t>减：银行已付，企业未付</t>
  </si>
  <si>
    <t>减：企业已付，银行未付</t>
  </si>
  <si>
    <t>调整后余额：</t>
  </si>
  <si>
    <t>表3-15</t>
  </si>
  <si>
    <t>单位银行存款日记账</t>
  </si>
  <si>
    <t>日期</t>
  </si>
  <si>
    <t>结算方式</t>
  </si>
  <si>
    <t>票号</t>
  </si>
  <si>
    <t>借方金额</t>
  </si>
  <si>
    <t>贷方金额</t>
  </si>
  <si>
    <t>2025.12.01</t>
  </si>
  <si>
    <t>Z1001</t>
  </si>
  <si>
    <t>Z2001</t>
  </si>
  <si>
    <t>Z1003</t>
  </si>
  <si>
    <t>Z1002</t>
  </si>
  <si>
    <t>Z1004</t>
  </si>
  <si>
    <t>2025.12.03</t>
  </si>
  <si>
    <t>Z1005</t>
  </si>
  <si>
    <t>2025.12.05</t>
  </si>
  <si>
    <t>H4001</t>
  </si>
  <si>
    <t>2025.12.07</t>
  </si>
  <si>
    <t>Z1007</t>
  </si>
  <si>
    <t>2025.12.09</t>
  </si>
  <si>
    <t>Z1008</t>
  </si>
  <si>
    <t>Z1009</t>
  </si>
  <si>
    <t>Z2003</t>
  </si>
  <si>
    <t>2025.12.10</t>
  </si>
  <si>
    <t>Z1011</t>
  </si>
  <si>
    <t>2025.12.11</t>
  </si>
  <si>
    <t>Z1012</t>
  </si>
  <si>
    <t>Z1013</t>
  </si>
  <si>
    <t>2025.12.12</t>
  </si>
  <si>
    <t>Z1015</t>
  </si>
  <si>
    <t>2025.12.13</t>
  </si>
  <si>
    <t>Z1014</t>
  </si>
  <si>
    <t>2025.12.19</t>
  </si>
  <si>
    <t>Z2004</t>
  </si>
  <si>
    <t>2025.12.20</t>
  </si>
  <si>
    <t>Z1010</t>
  </si>
  <si>
    <t>2025.12.22</t>
  </si>
  <si>
    <t>J5001</t>
  </si>
  <si>
    <t>2025.12.23</t>
  </si>
  <si>
    <t>Z2005</t>
  </si>
  <si>
    <t>2025.12.24</t>
  </si>
  <si>
    <t>Z1016</t>
  </si>
  <si>
    <t>2025.12.25</t>
  </si>
  <si>
    <t>Z2008</t>
  </si>
  <si>
    <t>2025.12.27</t>
  </si>
  <si>
    <t>Z2009</t>
  </si>
  <si>
    <t>Z2002</t>
  </si>
  <si>
    <t>Z1006</t>
  </si>
  <si>
    <t>表3-16</t>
  </si>
  <si>
    <t>银行对账单</t>
  </si>
  <si>
    <t>2025.12.02</t>
  </si>
  <si>
    <t>Z1152</t>
  </si>
  <si>
    <t>2025.12.04</t>
  </si>
  <si>
    <t>2025.12.08</t>
  </si>
  <si>
    <t>2025.12.16</t>
  </si>
  <si>
    <t>2025.12.18</t>
  </si>
  <si>
    <t>Z2006</t>
  </si>
  <si>
    <t>2025.12.26</t>
  </si>
  <si>
    <t>2025.12.29</t>
  </si>
  <si>
    <t>2025.12.30</t>
  </si>
  <si>
    <t>X1001</t>
  </si>
  <si>
    <t>期末余额</t>
    <phoneticPr fontId="4" type="noConversion"/>
  </si>
  <si>
    <t>期初银行方未达账：</t>
    <phoneticPr fontId="4" type="noConversion"/>
  </si>
  <si>
    <t>期初企业方未达账：</t>
    <phoneticPr fontId="4" type="noConversion"/>
  </si>
  <si>
    <t>期末企业方未达账：</t>
    <phoneticPr fontId="4" type="noConversion"/>
  </si>
  <si>
    <t>期末银行方未达账：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</si>
</sst>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130" zoomScaleNormal="130" workbookViewId="0">
      <selection activeCell="A8" sqref="A8:E13"/>
    </sheetView>
  </sheetViews>
  <sheetFormatPr defaultColWidth="9" defaultRowHeight="13.5" x14ac:dyDescent="0.15"/>
  <cols>
    <col min="1" max="1" width="23.375" customWidth="1"/>
    <col min="2" max="2" width="19.125" customWidth="1"/>
    <col min="3" max="3" width="23.375" customWidth="1"/>
    <col min="4" max="4" width="10.875" customWidth="1"/>
  </cols>
  <sheetData>
    <row r="1" spans="1:5" ht="51" customHeight="1" x14ac:dyDescent="0.15">
      <c r="A1" t="s">
        <v>0</v>
      </c>
      <c r="B1" s="5" t="s">
        <v>1</v>
      </c>
      <c r="C1" s="5"/>
      <c r="D1" t="s">
        <v>2</v>
      </c>
    </row>
    <row r="2" spans="1:5" x14ac:dyDescent="0.15">
      <c r="A2" s="1" t="s">
        <v>3</v>
      </c>
      <c r="B2" s="1" t="s">
        <v>4</v>
      </c>
      <c r="C2" s="1" t="s">
        <v>5</v>
      </c>
      <c r="D2" s="1" t="s">
        <v>6</v>
      </c>
    </row>
    <row r="3" spans="1:5" x14ac:dyDescent="0.15">
      <c r="A3" s="1" t="s">
        <v>7</v>
      </c>
      <c r="B3" s="2">
        <v>602349</v>
      </c>
      <c r="C3" s="1" t="s">
        <v>7</v>
      </c>
      <c r="D3" s="2">
        <v>616149</v>
      </c>
    </row>
    <row r="4" spans="1:5" x14ac:dyDescent="0.15">
      <c r="A4" s="1" t="s">
        <v>8</v>
      </c>
      <c r="B4" s="2">
        <v>0</v>
      </c>
      <c r="C4" s="1" t="s">
        <v>9</v>
      </c>
      <c r="D4" s="2">
        <v>0</v>
      </c>
    </row>
    <row r="5" spans="1:5" x14ac:dyDescent="0.15">
      <c r="A5" s="1" t="s">
        <v>10</v>
      </c>
      <c r="B5" s="2">
        <v>0</v>
      </c>
      <c r="C5" s="1" t="s">
        <v>11</v>
      </c>
      <c r="D5" s="2">
        <v>13800</v>
      </c>
    </row>
    <row r="6" spans="1:5" x14ac:dyDescent="0.15">
      <c r="A6" s="1" t="s">
        <v>12</v>
      </c>
      <c r="B6" s="2">
        <v>602349</v>
      </c>
      <c r="C6" s="1" t="s">
        <v>12</v>
      </c>
      <c r="D6" s="2">
        <v>602349</v>
      </c>
    </row>
    <row r="8" spans="1:5" x14ac:dyDescent="0.15">
      <c r="A8" s="4" t="s">
        <v>76</v>
      </c>
    </row>
    <row r="9" spans="1:5" x14ac:dyDescent="0.1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</row>
    <row r="10" spans="1:5" x14ac:dyDescent="0.15">
      <c r="A10" s="1" t="s">
        <v>63</v>
      </c>
      <c r="B10" s="1">
        <v>202</v>
      </c>
      <c r="C10" s="1" t="s">
        <v>64</v>
      </c>
      <c r="D10" s="1"/>
      <c r="E10" s="1">
        <v>13800</v>
      </c>
    </row>
    <row r="11" spans="1:5" x14ac:dyDescent="0.15">
      <c r="A11" s="4" t="s">
        <v>75</v>
      </c>
    </row>
    <row r="12" spans="1:5" x14ac:dyDescent="0.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</row>
    <row r="13" spans="1:5" x14ac:dyDescent="0.15">
      <c r="A13" s="1"/>
      <c r="B13" s="1"/>
      <c r="C13" s="1"/>
      <c r="D13" s="1"/>
      <c r="E13" s="1"/>
    </row>
  </sheetData>
  <mergeCells count="1">
    <mergeCell ref="B1:C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activeCell="G9" sqref="G9"/>
    </sheetView>
  </sheetViews>
  <sheetFormatPr defaultColWidth="9" defaultRowHeight="13.5" x14ac:dyDescent="0.15"/>
  <cols>
    <col min="1" max="1" width="11.5" customWidth="1"/>
    <col min="4" max="4" width="11.5"/>
  </cols>
  <sheetData>
    <row r="1" spans="1:6" x14ac:dyDescent="0.15">
      <c r="A1" t="s">
        <v>13</v>
      </c>
      <c r="B1" t="s">
        <v>14</v>
      </c>
      <c r="E1" t="s">
        <v>2</v>
      </c>
    </row>
    <row r="2" spans="1:6" x14ac:dyDescent="0.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3" t="s">
        <v>74</v>
      </c>
    </row>
    <row r="3" spans="1:6" x14ac:dyDescent="0.15">
      <c r="A3" s="1" t="s">
        <v>20</v>
      </c>
      <c r="B3" s="1">
        <v>202</v>
      </c>
      <c r="C3" s="1" t="s">
        <v>21</v>
      </c>
      <c r="D3" s="1"/>
      <c r="E3" s="1">
        <v>61440</v>
      </c>
      <c r="F3" s="1">
        <f>Sheet1!B3+Sheet2!D3-Sheet2!E3</f>
        <v>540909</v>
      </c>
    </row>
    <row r="4" spans="1:6" x14ac:dyDescent="0.15">
      <c r="A4" s="1" t="s">
        <v>20</v>
      </c>
      <c r="B4" s="1">
        <v>202</v>
      </c>
      <c r="C4" s="1" t="s">
        <v>22</v>
      </c>
      <c r="D4" s="1">
        <v>163800</v>
      </c>
      <c r="E4" s="1"/>
      <c r="F4" s="1">
        <f>F3+D4-E4</f>
        <v>704709</v>
      </c>
    </row>
    <row r="5" spans="1:6" x14ac:dyDescent="0.15">
      <c r="A5" s="1" t="s">
        <v>20</v>
      </c>
      <c r="B5" s="1">
        <v>202</v>
      </c>
      <c r="C5" s="1" t="s">
        <v>23</v>
      </c>
      <c r="D5" s="1">
        <v>17000</v>
      </c>
      <c r="E5" s="1"/>
      <c r="F5" s="1">
        <f t="shared" ref="F5:F27" si="0">F4+D5-E5</f>
        <v>721709</v>
      </c>
    </row>
    <row r="6" spans="1:6" x14ac:dyDescent="0.15">
      <c r="A6" s="1" t="s">
        <v>20</v>
      </c>
      <c r="B6" s="1">
        <v>202</v>
      </c>
      <c r="C6" s="1" t="s">
        <v>24</v>
      </c>
      <c r="D6" s="1"/>
      <c r="E6" s="1">
        <v>20000</v>
      </c>
      <c r="F6" s="1">
        <f t="shared" si="0"/>
        <v>701709</v>
      </c>
    </row>
    <row r="7" spans="1:6" x14ac:dyDescent="0.15">
      <c r="A7" s="1" t="s">
        <v>20</v>
      </c>
      <c r="B7" s="1">
        <v>202</v>
      </c>
      <c r="C7" s="1" t="s">
        <v>25</v>
      </c>
      <c r="D7" s="1"/>
      <c r="E7" s="1">
        <v>57600</v>
      </c>
      <c r="F7" s="1">
        <f t="shared" si="0"/>
        <v>644109</v>
      </c>
    </row>
    <row r="8" spans="1:6" x14ac:dyDescent="0.15">
      <c r="A8" s="1" t="s">
        <v>26</v>
      </c>
      <c r="B8" s="1">
        <v>202</v>
      </c>
      <c r="C8" s="1" t="s">
        <v>27</v>
      </c>
      <c r="D8" s="1"/>
      <c r="E8" s="1">
        <v>93600</v>
      </c>
      <c r="F8" s="1">
        <f t="shared" si="0"/>
        <v>550509</v>
      </c>
    </row>
    <row r="9" spans="1:6" x14ac:dyDescent="0.15">
      <c r="A9" s="1" t="s">
        <v>28</v>
      </c>
      <c r="B9" s="1">
        <v>4</v>
      </c>
      <c r="C9" s="1" t="s">
        <v>29</v>
      </c>
      <c r="D9" s="1"/>
      <c r="E9" s="1">
        <v>35200</v>
      </c>
      <c r="F9" s="1">
        <f t="shared" si="0"/>
        <v>515309</v>
      </c>
    </row>
    <row r="10" spans="1:6" x14ac:dyDescent="0.15">
      <c r="A10" s="1" t="s">
        <v>30</v>
      </c>
      <c r="B10" s="1">
        <v>202</v>
      </c>
      <c r="C10" s="1" t="s">
        <v>31</v>
      </c>
      <c r="D10" s="1"/>
      <c r="E10" s="1">
        <v>100</v>
      </c>
      <c r="F10" s="1">
        <f t="shared" si="0"/>
        <v>515209</v>
      </c>
    </row>
    <row r="11" spans="1:6" x14ac:dyDescent="0.15">
      <c r="A11" s="1" t="s">
        <v>32</v>
      </c>
      <c r="B11" s="1">
        <v>202</v>
      </c>
      <c r="C11" s="1" t="s">
        <v>33</v>
      </c>
      <c r="D11" s="1"/>
      <c r="E11" s="1">
        <v>6400</v>
      </c>
      <c r="F11" s="1">
        <f t="shared" si="0"/>
        <v>508809</v>
      </c>
    </row>
    <row r="12" spans="1:6" x14ac:dyDescent="0.15">
      <c r="A12" s="1" t="s">
        <v>32</v>
      </c>
      <c r="B12" s="1">
        <v>202</v>
      </c>
      <c r="C12" s="1" t="s">
        <v>34</v>
      </c>
      <c r="D12" s="1"/>
      <c r="E12" s="1">
        <v>100</v>
      </c>
      <c r="F12" s="1">
        <f t="shared" si="0"/>
        <v>508709</v>
      </c>
    </row>
    <row r="13" spans="1:6" x14ac:dyDescent="0.15">
      <c r="A13" s="1" t="s">
        <v>32</v>
      </c>
      <c r="B13" s="1">
        <v>202</v>
      </c>
      <c r="C13" s="1" t="s">
        <v>35</v>
      </c>
      <c r="D13" s="1">
        <v>175500</v>
      </c>
      <c r="E13" s="1"/>
      <c r="F13" s="1">
        <f t="shared" si="0"/>
        <v>684209</v>
      </c>
    </row>
    <row r="14" spans="1:6" x14ac:dyDescent="0.15">
      <c r="A14" s="1" t="s">
        <v>36</v>
      </c>
      <c r="B14" s="1">
        <v>202</v>
      </c>
      <c r="C14" s="1" t="s">
        <v>37</v>
      </c>
      <c r="D14" s="1"/>
      <c r="E14" s="1">
        <v>2520</v>
      </c>
      <c r="F14" s="1">
        <f t="shared" si="0"/>
        <v>681689</v>
      </c>
    </row>
    <row r="15" spans="1:6" x14ac:dyDescent="0.15">
      <c r="A15" s="1" t="s">
        <v>38</v>
      </c>
      <c r="B15" s="1">
        <v>202</v>
      </c>
      <c r="C15" s="1" t="s">
        <v>39</v>
      </c>
      <c r="D15" s="1"/>
      <c r="E15" s="1">
        <v>20000</v>
      </c>
      <c r="F15" s="1">
        <f t="shared" si="0"/>
        <v>661689</v>
      </c>
    </row>
    <row r="16" spans="1:6" x14ac:dyDescent="0.15">
      <c r="A16" s="1" t="s">
        <v>38</v>
      </c>
      <c r="B16" s="1">
        <v>202</v>
      </c>
      <c r="C16" s="1" t="s">
        <v>40</v>
      </c>
      <c r="D16" s="1"/>
      <c r="E16" s="1">
        <v>31650</v>
      </c>
      <c r="F16" s="1">
        <f t="shared" si="0"/>
        <v>630039</v>
      </c>
    </row>
    <row r="17" spans="1:6" x14ac:dyDescent="0.15">
      <c r="A17" s="1" t="s">
        <v>41</v>
      </c>
      <c r="B17" s="1">
        <v>202</v>
      </c>
      <c r="C17" s="1" t="s">
        <v>42</v>
      </c>
      <c r="D17" s="1">
        <v>126000</v>
      </c>
      <c r="E17" s="1"/>
      <c r="F17" s="1">
        <f t="shared" si="0"/>
        <v>756039</v>
      </c>
    </row>
    <row r="18" spans="1:6" x14ac:dyDescent="0.15">
      <c r="A18" s="1" t="s">
        <v>43</v>
      </c>
      <c r="B18" s="1">
        <v>202</v>
      </c>
      <c r="C18" s="1" t="s">
        <v>44</v>
      </c>
      <c r="D18" s="1"/>
      <c r="E18" s="1">
        <v>35844</v>
      </c>
      <c r="F18" s="1">
        <f t="shared" si="0"/>
        <v>720195</v>
      </c>
    </row>
    <row r="19" spans="1:6" x14ac:dyDescent="0.15">
      <c r="A19" s="1" t="s">
        <v>45</v>
      </c>
      <c r="B19" s="1">
        <v>202</v>
      </c>
      <c r="C19" s="1" t="s">
        <v>46</v>
      </c>
      <c r="D19" s="1">
        <v>270000</v>
      </c>
      <c r="E19" s="1"/>
      <c r="F19" s="1">
        <f t="shared" si="0"/>
        <v>990195</v>
      </c>
    </row>
    <row r="20" spans="1:6" x14ac:dyDescent="0.15">
      <c r="A20" s="1" t="s">
        <v>47</v>
      </c>
      <c r="B20" s="1">
        <v>202</v>
      </c>
      <c r="C20" s="1" t="s">
        <v>48</v>
      </c>
      <c r="D20" s="1"/>
      <c r="E20" s="1">
        <v>98520</v>
      </c>
      <c r="F20" s="1">
        <f t="shared" si="0"/>
        <v>891675</v>
      </c>
    </row>
    <row r="21" spans="1:6" x14ac:dyDescent="0.15">
      <c r="A21" s="1" t="s">
        <v>49</v>
      </c>
      <c r="B21" s="1">
        <v>5</v>
      </c>
      <c r="C21" s="1" t="s">
        <v>50</v>
      </c>
      <c r="D21" s="1">
        <v>3624.78</v>
      </c>
      <c r="E21" s="1"/>
      <c r="F21" s="1">
        <f t="shared" si="0"/>
        <v>895299.78</v>
      </c>
    </row>
    <row r="22" spans="1:6" x14ac:dyDescent="0.15">
      <c r="A22" s="1" t="s">
        <v>51</v>
      </c>
      <c r="B22" s="1">
        <v>202</v>
      </c>
      <c r="C22" s="1" t="s">
        <v>52</v>
      </c>
      <c r="D22" s="1">
        <v>8000</v>
      </c>
      <c r="E22" s="1"/>
      <c r="F22" s="1">
        <f t="shared" si="0"/>
        <v>903299.78</v>
      </c>
    </row>
    <row r="23" spans="1:6" x14ac:dyDescent="0.15">
      <c r="A23" s="1" t="s">
        <v>53</v>
      </c>
      <c r="B23" s="1">
        <v>202</v>
      </c>
      <c r="C23" s="1" t="s">
        <v>54</v>
      </c>
      <c r="D23" s="1"/>
      <c r="E23" s="1">
        <v>100</v>
      </c>
      <c r="F23" s="1">
        <f t="shared" si="0"/>
        <v>903199.78</v>
      </c>
    </row>
    <row r="24" spans="1:6" x14ac:dyDescent="0.15">
      <c r="A24" s="1" t="s">
        <v>55</v>
      </c>
      <c r="B24" s="1">
        <v>202</v>
      </c>
      <c r="C24" s="1" t="s">
        <v>56</v>
      </c>
      <c r="D24" s="1">
        <v>39600</v>
      </c>
      <c r="E24" s="1"/>
      <c r="F24" s="1">
        <f t="shared" si="0"/>
        <v>942799.78</v>
      </c>
    </row>
    <row r="25" spans="1:6" x14ac:dyDescent="0.15">
      <c r="A25" s="1" t="s">
        <v>57</v>
      </c>
      <c r="B25" s="1">
        <v>202</v>
      </c>
      <c r="C25" s="1" t="s">
        <v>58</v>
      </c>
      <c r="D25" s="1">
        <v>462000</v>
      </c>
      <c r="E25" s="1"/>
      <c r="F25" s="1">
        <f t="shared" si="0"/>
        <v>1404799.78</v>
      </c>
    </row>
    <row r="26" spans="1:6" x14ac:dyDescent="0.15">
      <c r="A26" s="1" t="s">
        <v>57</v>
      </c>
      <c r="B26" s="1">
        <v>202</v>
      </c>
      <c r="C26" s="1" t="s">
        <v>59</v>
      </c>
      <c r="D26" s="1"/>
      <c r="E26" s="1">
        <v>46500</v>
      </c>
      <c r="F26" s="1">
        <f t="shared" si="0"/>
        <v>1358299.78</v>
      </c>
    </row>
    <row r="27" spans="1:6" x14ac:dyDescent="0.15">
      <c r="A27" s="1" t="s">
        <v>57</v>
      </c>
      <c r="B27" s="1">
        <v>202</v>
      </c>
      <c r="C27" s="1" t="s">
        <v>60</v>
      </c>
      <c r="D27" s="1"/>
      <c r="E27" s="1">
        <v>616590</v>
      </c>
      <c r="F27" s="1">
        <f t="shared" si="0"/>
        <v>741709.78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zoomScale="120" zoomScaleNormal="120" workbookViewId="0">
      <selection activeCell="A2" sqref="A2:E4"/>
    </sheetView>
  </sheetViews>
  <sheetFormatPr defaultColWidth="9" defaultRowHeight="13.5" x14ac:dyDescent="0.15"/>
  <cols>
    <col min="1" max="1" width="11.5" customWidth="1"/>
    <col min="2" max="2" width="8.875" customWidth="1"/>
    <col min="3" max="3" width="6.375" customWidth="1"/>
    <col min="4" max="4" width="11.5"/>
    <col min="5" max="5" width="8.875" customWidth="1"/>
  </cols>
  <sheetData>
    <row r="1" spans="1:6" ht="20.25" x14ac:dyDescent="0.15">
      <c r="A1" t="s">
        <v>61</v>
      </c>
      <c r="B1" s="6" t="s">
        <v>62</v>
      </c>
      <c r="C1" s="6"/>
      <c r="D1" s="6"/>
      <c r="E1" t="s">
        <v>2</v>
      </c>
    </row>
    <row r="2" spans="1:6" x14ac:dyDescent="0.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3" t="s">
        <v>74</v>
      </c>
    </row>
    <row r="3" spans="1:6" x14ac:dyDescent="0.15">
      <c r="A3" s="1" t="s">
        <v>20</v>
      </c>
      <c r="B3" s="1">
        <v>202</v>
      </c>
      <c r="C3" s="1" t="s">
        <v>21</v>
      </c>
      <c r="D3" s="1"/>
      <c r="E3" s="1">
        <v>61440</v>
      </c>
      <c r="F3" s="1">
        <f>Sheet1!D3+Sheet3!D3-Sheet3!E3</f>
        <v>554709</v>
      </c>
    </row>
    <row r="4" spans="1:6" x14ac:dyDescent="0.15">
      <c r="A4" s="1" t="s">
        <v>63</v>
      </c>
      <c r="B4" s="1">
        <v>202</v>
      </c>
      <c r="C4" s="1" t="s">
        <v>64</v>
      </c>
      <c r="D4" s="1"/>
      <c r="E4" s="1">
        <v>13800</v>
      </c>
      <c r="F4" s="1">
        <f>F3+D4-E4</f>
        <v>540909</v>
      </c>
    </row>
    <row r="5" spans="1:6" x14ac:dyDescent="0.15">
      <c r="A5" s="1" t="s">
        <v>63</v>
      </c>
      <c r="B5" s="1">
        <v>202</v>
      </c>
      <c r="C5" s="1" t="s">
        <v>22</v>
      </c>
      <c r="D5" s="1">
        <v>163800</v>
      </c>
      <c r="E5" s="1"/>
      <c r="F5" s="1">
        <f t="shared" ref="F5:F28" si="0">F4+D5-E5</f>
        <v>704709</v>
      </c>
    </row>
    <row r="6" spans="1:6" x14ac:dyDescent="0.15">
      <c r="A6" s="1" t="s">
        <v>65</v>
      </c>
      <c r="B6" s="1">
        <v>202</v>
      </c>
      <c r="C6" s="1" t="s">
        <v>59</v>
      </c>
      <c r="D6" s="1">
        <v>240000</v>
      </c>
      <c r="E6" s="1"/>
      <c r="F6" s="1">
        <f t="shared" si="0"/>
        <v>944709</v>
      </c>
    </row>
    <row r="7" spans="1:6" x14ac:dyDescent="0.15">
      <c r="A7" s="1" t="s">
        <v>65</v>
      </c>
      <c r="B7" s="1">
        <v>202</v>
      </c>
      <c r="C7" s="1" t="s">
        <v>24</v>
      </c>
      <c r="D7" s="1"/>
      <c r="E7" s="1">
        <v>20000</v>
      </c>
      <c r="F7" s="1">
        <f t="shared" si="0"/>
        <v>924709</v>
      </c>
    </row>
    <row r="8" spans="1:6" x14ac:dyDescent="0.15">
      <c r="A8" s="1" t="s">
        <v>28</v>
      </c>
      <c r="B8" s="1">
        <v>202</v>
      </c>
      <c r="C8" s="1" t="s">
        <v>25</v>
      </c>
      <c r="D8" s="1"/>
      <c r="E8" s="1">
        <v>57600</v>
      </c>
      <c r="F8" s="1">
        <f t="shared" si="0"/>
        <v>867109</v>
      </c>
    </row>
    <row r="9" spans="1:6" x14ac:dyDescent="0.15">
      <c r="A9" s="1" t="s">
        <v>28</v>
      </c>
      <c r="B9" s="1">
        <v>202</v>
      </c>
      <c r="C9" s="1" t="s">
        <v>27</v>
      </c>
      <c r="D9" s="1"/>
      <c r="E9" s="1">
        <v>93600</v>
      </c>
      <c r="F9" s="1">
        <f t="shared" si="0"/>
        <v>773509</v>
      </c>
    </row>
    <row r="10" spans="1:6" x14ac:dyDescent="0.15">
      <c r="A10" s="1" t="s">
        <v>28</v>
      </c>
      <c r="B10" s="1">
        <v>4</v>
      </c>
      <c r="C10" s="1" t="s">
        <v>29</v>
      </c>
      <c r="D10" s="1"/>
      <c r="E10" s="1">
        <v>35200</v>
      </c>
      <c r="F10" s="1">
        <f t="shared" si="0"/>
        <v>738309</v>
      </c>
    </row>
    <row r="11" spans="1:6" x14ac:dyDescent="0.15">
      <c r="A11" s="1" t="s">
        <v>30</v>
      </c>
      <c r="B11" s="1">
        <v>202</v>
      </c>
      <c r="C11" s="1" t="s">
        <v>31</v>
      </c>
      <c r="D11" s="1"/>
      <c r="E11" s="1">
        <v>100</v>
      </c>
      <c r="F11" s="1">
        <f t="shared" si="0"/>
        <v>738209</v>
      </c>
    </row>
    <row r="12" spans="1:6" x14ac:dyDescent="0.15">
      <c r="A12" s="1" t="s">
        <v>66</v>
      </c>
      <c r="B12" s="1">
        <v>202</v>
      </c>
      <c r="C12" s="1" t="s">
        <v>33</v>
      </c>
      <c r="D12" s="1"/>
      <c r="E12" s="1">
        <v>6400</v>
      </c>
      <c r="F12" s="1">
        <f t="shared" si="0"/>
        <v>731809</v>
      </c>
    </row>
    <row r="13" spans="1:6" x14ac:dyDescent="0.15">
      <c r="A13" s="1" t="s">
        <v>66</v>
      </c>
      <c r="B13" s="1">
        <v>202</v>
      </c>
      <c r="C13" s="1" t="s">
        <v>34</v>
      </c>
      <c r="D13" s="1"/>
      <c r="E13" s="1">
        <v>100</v>
      </c>
      <c r="F13" s="1">
        <f t="shared" si="0"/>
        <v>731709</v>
      </c>
    </row>
    <row r="14" spans="1:6" x14ac:dyDescent="0.15">
      <c r="A14" s="1" t="s">
        <v>66</v>
      </c>
      <c r="B14" s="1">
        <v>202</v>
      </c>
      <c r="C14" s="1" t="s">
        <v>35</v>
      </c>
      <c r="D14" s="1">
        <v>175500</v>
      </c>
      <c r="E14" s="1"/>
      <c r="F14" s="1">
        <f t="shared" si="0"/>
        <v>907209</v>
      </c>
    </row>
    <row r="15" spans="1:6" x14ac:dyDescent="0.15">
      <c r="A15" s="1" t="s">
        <v>36</v>
      </c>
      <c r="B15" s="1">
        <v>202</v>
      </c>
      <c r="C15" s="1" t="s">
        <v>37</v>
      </c>
      <c r="D15" s="1"/>
      <c r="E15" s="1">
        <v>2520</v>
      </c>
      <c r="F15" s="1">
        <f t="shared" si="0"/>
        <v>904689</v>
      </c>
    </row>
    <row r="16" spans="1:6" x14ac:dyDescent="0.15">
      <c r="A16" s="1" t="s">
        <v>36</v>
      </c>
      <c r="B16" s="1">
        <v>202</v>
      </c>
      <c r="C16" s="1" t="s">
        <v>39</v>
      </c>
      <c r="D16" s="1"/>
      <c r="E16" s="1">
        <v>20000</v>
      </c>
      <c r="F16" s="1">
        <f t="shared" si="0"/>
        <v>884689</v>
      </c>
    </row>
    <row r="17" spans="1:6" x14ac:dyDescent="0.15">
      <c r="A17" s="1" t="s">
        <v>36</v>
      </c>
      <c r="B17" s="1">
        <v>202</v>
      </c>
      <c r="C17" s="1" t="s">
        <v>40</v>
      </c>
      <c r="D17" s="1"/>
      <c r="E17" s="1">
        <v>31650</v>
      </c>
      <c r="F17" s="1">
        <f t="shared" si="0"/>
        <v>853039</v>
      </c>
    </row>
    <row r="18" spans="1:6" x14ac:dyDescent="0.15">
      <c r="A18" s="1" t="s">
        <v>43</v>
      </c>
      <c r="B18" s="1">
        <v>202</v>
      </c>
      <c r="C18" s="1" t="s">
        <v>48</v>
      </c>
      <c r="D18" s="1"/>
      <c r="E18" s="1">
        <v>178000</v>
      </c>
      <c r="F18" s="1">
        <f t="shared" si="0"/>
        <v>675039</v>
      </c>
    </row>
    <row r="19" spans="1:6" x14ac:dyDescent="0.15">
      <c r="A19" s="1" t="s">
        <v>67</v>
      </c>
      <c r="B19" s="1">
        <v>202</v>
      </c>
      <c r="C19" s="1" t="s">
        <v>44</v>
      </c>
      <c r="D19" s="1"/>
      <c r="E19" s="1">
        <v>35844</v>
      </c>
      <c r="F19" s="1">
        <f t="shared" si="0"/>
        <v>639195</v>
      </c>
    </row>
    <row r="20" spans="1:6" x14ac:dyDescent="0.15">
      <c r="A20" s="1" t="s">
        <v>68</v>
      </c>
      <c r="B20" s="1">
        <v>202</v>
      </c>
      <c r="C20" s="1" t="s">
        <v>46</v>
      </c>
      <c r="D20" s="1">
        <v>270000</v>
      </c>
      <c r="E20" s="1"/>
      <c r="F20" s="1">
        <f t="shared" si="0"/>
        <v>909195</v>
      </c>
    </row>
    <row r="21" spans="1:6" x14ac:dyDescent="0.15">
      <c r="A21" s="1" t="s">
        <v>47</v>
      </c>
      <c r="B21" s="1">
        <v>202</v>
      </c>
      <c r="C21" s="1" t="s">
        <v>69</v>
      </c>
      <c r="D21" s="1">
        <v>2808</v>
      </c>
      <c r="E21" s="1"/>
      <c r="F21" s="1">
        <f t="shared" si="0"/>
        <v>912003</v>
      </c>
    </row>
    <row r="22" spans="1:6" x14ac:dyDescent="0.15">
      <c r="A22" s="1" t="s">
        <v>70</v>
      </c>
      <c r="B22" s="1">
        <v>5</v>
      </c>
      <c r="C22" s="1" t="s">
        <v>50</v>
      </c>
      <c r="D22" s="1">
        <v>3624.78</v>
      </c>
      <c r="E22" s="1"/>
      <c r="F22" s="1">
        <f t="shared" si="0"/>
        <v>915627.78</v>
      </c>
    </row>
    <row r="23" spans="1:6" x14ac:dyDescent="0.15">
      <c r="A23" s="1" t="s">
        <v>57</v>
      </c>
      <c r="B23" s="1">
        <v>202</v>
      </c>
      <c r="C23" s="1" t="s">
        <v>52</v>
      </c>
      <c r="D23" s="1">
        <v>8000</v>
      </c>
      <c r="E23" s="1"/>
      <c r="F23" s="1">
        <f t="shared" si="0"/>
        <v>923627.78</v>
      </c>
    </row>
    <row r="24" spans="1:6" x14ac:dyDescent="0.15">
      <c r="A24" s="1" t="s">
        <v>57</v>
      </c>
      <c r="B24" s="1">
        <v>202</v>
      </c>
      <c r="C24" s="1" t="s">
        <v>54</v>
      </c>
      <c r="D24" s="1"/>
      <c r="E24" s="1">
        <v>100</v>
      </c>
      <c r="F24" s="1">
        <f t="shared" si="0"/>
        <v>923527.78</v>
      </c>
    </row>
    <row r="25" spans="1:6" x14ac:dyDescent="0.15">
      <c r="A25" s="1" t="s">
        <v>71</v>
      </c>
      <c r="B25" s="1">
        <v>202</v>
      </c>
      <c r="C25" s="1" t="s">
        <v>56</v>
      </c>
      <c r="D25" s="1">
        <v>39600</v>
      </c>
      <c r="E25" s="1"/>
      <c r="F25" s="1">
        <f t="shared" si="0"/>
        <v>963127.78</v>
      </c>
    </row>
    <row r="26" spans="1:6" x14ac:dyDescent="0.15">
      <c r="A26" s="1" t="s">
        <v>72</v>
      </c>
      <c r="B26" s="1">
        <v>202</v>
      </c>
      <c r="C26" s="1" t="s">
        <v>58</v>
      </c>
      <c r="D26" s="1">
        <v>462000</v>
      </c>
      <c r="E26" s="1"/>
      <c r="F26" s="1">
        <f t="shared" si="0"/>
        <v>1425127.78</v>
      </c>
    </row>
    <row r="27" spans="1:6" x14ac:dyDescent="0.15">
      <c r="A27" s="1" t="s">
        <v>72</v>
      </c>
      <c r="B27" s="1">
        <v>201</v>
      </c>
      <c r="C27" s="1" t="s">
        <v>73</v>
      </c>
      <c r="D27" s="1"/>
      <c r="E27" s="1">
        <v>358450</v>
      </c>
      <c r="F27" s="1">
        <f t="shared" si="0"/>
        <v>1066677.78</v>
      </c>
    </row>
    <row r="28" spans="1:6" x14ac:dyDescent="0.15">
      <c r="A28" s="1" t="s">
        <v>72</v>
      </c>
      <c r="B28" s="1">
        <v>202</v>
      </c>
      <c r="C28" s="1" t="s">
        <v>60</v>
      </c>
      <c r="D28" s="1"/>
      <c r="E28" s="1">
        <v>616590</v>
      </c>
      <c r="F28" s="1">
        <f t="shared" si="0"/>
        <v>450087.78</v>
      </c>
    </row>
    <row r="29" spans="1:6" ht="15" customHeight="1" x14ac:dyDescent="0.15"/>
  </sheetData>
  <mergeCells count="1">
    <mergeCell ref="B1:D1"/>
  </mergeCells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zoomScale="130" zoomScaleNormal="130" workbookViewId="0">
      <selection activeCell="D3" sqref="D3"/>
    </sheetView>
  </sheetViews>
  <sheetFormatPr defaultColWidth="9" defaultRowHeight="13.5" x14ac:dyDescent="0.15"/>
  <cols>
    <col min="1" max="1" width="23.375" customWidth="1"/>
    <col min="2" max="2" width="11.5" customWidth="1"/>
    <col min="3" max="3" width="31.5" customWidth="1"/>
    <col min="4" max="4" width="11.5" customWidth="1"/>
  </cols>
  <sheetData>
    <row r="1" spans="1:5" ht="31.5" x14ac:dyDescent="0.15">
      <c r="A1" t="s">
        <v>0</v>
      </c>
      <c r="B1" s="5" t="s">
        <v>1</v>
      </c>
      <c r="C1" s="5"/>
      <c r="D1" t="s">
        <v>2</v>
      </c>
    </row>
    <row r="2" spans="1:5" x14ac:dyDescent="0.15">
      <c r="A2" s="1" t="s">
        <v>3</v>
      </c>
      <c r="B2" s="1" t="s">
        <v>4</v>
      </c>
      <c r="C2" s="1" t="s">
        <v>5</v>
      </c>
      <c r="D2" s="1" t="s">
        <v>6</v>
      </c>
    </row>
    <row r="3" spans="1:5" x14ac:dyDescent="0.15">
      <c r="A3" s="1" t="s">
        <v>7</v>
      </c>
      <c r="B3" s="2"/>
      <c r="C3" s="1" t="s">
        <v>7</v>
      </c>
      <c r="D3" s="2"/>
    </row>
    <row r="4" spans="1:5" x14ac:dyDescent="0.15">
      <c r="A4" s="1" t="s">
        <v>8</v>
      </c>
      <c r="B4" s="2"/>
      <c r="C4" s="1" t="s">
        <v>9</v>
      </c>
      <c r="D4" s="2"/>
    </row>
    <row r="5" spans="1:5" x14ac:dyDescent="0.15">
      <c r="A5" s="1" t="s">
        <v>10</v>
      </c>
      <c r="B5" s="2"/>
      <c r="C5" s="1" t="s">
        <v>11</v>
      </c>
      <c r="D5" s="2"/>
    </row>
    <row r="6" spans="1:5" x14ac:dyDescent="0.15">
      <c r="A6" s="1" t="s">
        <v>12</v>
      </c>
      <c r="B6" s="2"/>
      <c r="C6" s="1" t="s">
        <v>12</v>
      </c>
      <c r="D6" s="2"/>
    </row>
    <row r="8" spans="1:5" x14ac:dyDescent="0.15">
      <c r="A8" s="7" t="s">
        <v>77</v>
      </c>
    </row>
    <row r="9" spans="1:5" x14ac:dyDescent="0.1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</row>
    <row r="10" spans="1:5" x14ac:dyDescent="0.15">
      <c r="A10" s="1"/>
      <c r="B10" s="1"/>
      <c r="C10" s="1"/>
      <c r="D10" s="1"/>
      <c r="E10" s="1"/>
    </row>
    <row r="11" spans="1:5" x14ac:dyDescent="0.15">
      <c r="A11" s="7" t="s">
        <v>78</v>
      </c>
    </row>
    <row r="12" spans="1:5" x14ac:dyDescent="0.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</row>
    <row r="13" spans="1:5" x14ac:dyDescent="0.15">
      <c r="A13" s="1"/>
      <c r="B13" s="1"/>
      <c r="C13" s="1"/>
      <c r="D13" s="1"/>
      <c r="E13" s="1"/>
    </row>
  </sheetData>
  <mergeCells count="1">
    <mergeCell ref="B1:C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满花 欧阳</cp:lastModifiedBy>
  <dcterms:created xsi:type="dcterms:W3CDTF">2023-05-12T11:15:00Z</dcterms:created>
  <dcterms:modified xsi:type="dcterms:W3CDTF">2026-09-25T04:16:07Z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439627B22838468F9F7E19B4A6843B8A_12</vt:lpwstr>
  </property>
  <property fmtid="{D5CDD505-2E9C-101B-9397-08002B2CF9AE}" pid="4" name="CalculationRule">
    <vt:i4>0</vt:i4>
  </property>
</Properties>
</file>